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ona\OneDrive\Documentos\[2025] My Documents\SPTECH\04 - 1° SEMESTRE (MATÉRIAS)\PESQUISA E INOVAÇÃO\13 - TRABALHO INDIVIDUAL\DOCUMENTAÇÃO\"/>
    </mc:Choice>
  </mc:AlternateContent>
  <xr:revisionPtr revIDLastSave="0" documentId="13_ncr:1_{B2E18E40-5D68-4282-A141-BF70B48E5155}" xr6:coauthVersionLast="47" xr6:coauthVersionMax="47" xr10:uidLastSave="{00000000-0000-0000-0000-000000000000}"/>
  <bookViews>
    <workbookView xWindow="-108" yWindow="-108" windowWidth="23256" windowHeight="12456" xr2:uid="{7F13FE21-3909-4024-9E51-F6B5B91CD81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7" i="1"/>
  <c r="E8" i="1"/>
  <c r="E9" i="1"/>
  <c r="E10" i="1"/>
  <c r="E11" i="1"/>
  <c r="E3" i="1"/>
  <c r="E4" i="1"/>
  <c r="E5" i="1"/>
  <c r="E6" i="1"/>
  <c r="E15" i="1"/>
  <c r="L8" i="1" l="1"/>
  <c r="M8" i="1"/>
  <c r="P8" i="1" l="1"/>
</calcChain>
</file>

<file path=xl/sharedStrings.xml><?xml version="1.0" encoding="utf-8"?>
<sst xmlns="http://schemas.openxmlformats.org/spreadsheetml/2006/main" count="97" uniqueCount="52">
  <si>
    <t>REQUISITO</t>
  </si>
  <si>
    <t>DESCRIÇÃO</t>
  </si>
  <si>
    <t>CLASSIFICAÇÃO</t>
  </si>
  <si>
    <t>TAMANHO</t>
  </si>
  <si>
    <t>TAM(#)</t>
  </si>
  <si>
    <t>PRIORIDADE</t>
  </si>
  <si>
    <t>SPRINT</t>
  </si>
  <si>
    <t>ESTADO</t>
  </si>
  <si>
    <t>Importante</t>
  </si>
  <si>
    <t>G</t>
  </si>
  <si>
    <t>PENDENTE</t>
  </si>
  <si>
    <t>Planejamento no Trello</t>
  </si>
  <si>
    <t>Uso do GitHub</t>
  </si>
  <si>
    <t>Fazer o site institucional (Index, login &amp; cadastro)</t>
  </si>
  <si>
    <t>Fazer interação site institucional (Torneio, jogo &amp; calculadora)</t>
  </si>
  <si>
    <t>Fazer a documentação do projeto</t>
  </si>
  <si>
    <t>Criar Diagrama de Solução Técnica</t>
  </si>
  <si>
    <t>Criar Diagrama de Negócio/Funcionamento</t>
  </si>
  <si>
    <t>Montar Modelo Lógico com relacionamentos</t>
  </si>
  <si>
    <t>Montar comandos SQL</t>
  </si>
  <si>
    <t>Fazer a DashBoard e Indicadores</t>
  </si>
  <si>
    <t>Aplicação da API NodeJS para cadastro e/ou consulta no banco de dados</t>
  </si>
  <si>
    <t>Utilização de uma VM Linux contendo somente o Banco de Dados</t>
  </si>
  <si>
    <t>Preparar apresentação final do projeto</t>
  </si>
  <si>
    <t>SPRINT 1</t>
  </si>
  <si>
    <t>SPRINT 2</t>
  </si>
  <si>
    <t>SRPINT 3</t>
  </si>
  <si>
    <t>PRODUCT BACKLOG - ERA TEENAGE DREAM</t>
  </si>
  <si>
    <t>Desenvolver as páginas principais do site institucional, incluindo a página inicial (Index), a tela de login e a tela de cadastro.</t>
  </si>
  <si>
    <t>Montar a apresentação para mostrar o projeto pronto.</t>
  </si>
  <si>
    <t>Organizar as tarefas do projeto no Trello para acompanhar o que precisa ser feito.</t>
  </si>
  <si>
    <t>Criar e usar o repositório no GitHub para salvar os códigos</t>
  </si>
  <si>
    <t>Adicionar as partes interativas do site, como o torneio, o jogo e a calculadora.</t>
  </si>
  <si>
    <t>Documentar todo processo da criação do projeto</t>
  </si>
  <si>
    <t>Definir os objetivos para saber que dados a dashboard precisa passar</t>
  </si>
  <si>
    <t xml:space="preserve">Configurar uma máquina virtual Linux para rodar somente o banco de dados. </t>
  </si>
  <si>
    <t>Configurar a conexão da Dashboard com a API/Banco de dados</t>
  </si>
  <si>
    <t>Diagrama de negócios para ajudar a entender como vai ser o funcionamento do projeto</t>
  </si>
  <si>
    <t>Criar um diagrama de solução ultilizando simbolos e linhas para mostrar a estrutura, funcionamento e as relações entre componentes e o fluxo de dados ou processos</t>
  </si>
  <si>
    <t>Escrever os comandos SQL para criar e consultar as tabelas.</t>
  </si>
  <si>
    <t>Criar o modelo do banco de dados com tabelas e ligações entre elas.</t>
  </si>
  <si>
    <t>Essencial</t>
  </si>
  <si>
    <t>PP</t>
  </si>
  <si>
    <t>P</t>
  </si>
  <si>
    <t>M</t>
  </si>
  <si>
    <t>FINALIZADO</t>
  </si>
  <si>
    <t>PLANEJADO</t>
  </si>
  <si>
    <t>ENTREGUE</t>
  </si>
  <si>
    <t>TOTAL</t>
  </si>
  <si>
    <t>SPRINT 3</t>
  </si>
  <si>
    <t>DÉFICIT PLANEJADO</t>
  </si>
  <si>
    <t>DÉFICIT ENTREGUE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</si>
</sst>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28"/>
      <color rgb="FF637CEF"/>
      <name val="Aptos Narrow"/>
      <family val="2"/>
      <scheme val="minor"/>
    </font>
    <font>
      <b/>
      <sz val="14"/>
      <color rgb="FF637CEF"/>
      <name val="Aptos Narrow"/>
      <family val="2"/>
      <scheme val="minor"/>
    </font>
    <font>
      <b/>
      <sz val="12"/>
      <color rgb="FF637CE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FCC"/>
        <bgColor indexed="64"/>
      </patternFill>
    </fill>
    <fill>
      <patternFill patternType="solid">
        <fgColor rgb="FFFFC8DD"/>
        <bgColor indexed="64"/>
      </patternFill>
    </fill>
    <fill>
      <patternFill patternType="solid">
        <fgColor rgb="FFCDB4D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637CEF"/>
        <name val="Aptos Narrow"/>
        <family val="2"/>
        <scheme val="minor"/>
      </font>
      <fill>
        <patternFill patternType="solid">
          <fgColor indexed="64"/>
          <bgColor rgb="FFCDB4D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DB4DB"/>
      <color rgb="FF637CEF"/>
      <color rgb="FFFFAFCC"/>
      <color rgb="FFFFC8DD"/>
      <color rgb="FFFFFFFF"/>
      <color rgb="FFE30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Planilha1!$L$7</c:f>
              <c:strCache>
                <c:ptCount val="1"/>
                <c:pt idx="0">
                  <c:v>DÉFICIT 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Planilha1!$K$8:$K$11</c:f>
              <c:strCache>
                <c:ptCount val="4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</c:strCache>
            </c:strRef>
          </c:cat>
          <c:val>
            <c:numRef>
              <c:f>Planilha1!$L$8:$L$11</c:f>
              <c:numCache>
                <c:formatCode>General</c:formatCode>
                <c:ptCount val="4"/>
                <c:pt idx="0">
                  <c:v>110</c:v>
                </c:pt>
                <c:pt idx="1">
                  <c:v>76</c:v>
                </c:pt>
                <c:pt idx="2">
                  <c:v>49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9-443D-BFE7-7DA5CA5CD022}"/>
            </c:ext>
          </c:extLst>
        </c:ser>
        <c:ser>
          <c:idx val="1"/>
          <c:order val="1"/>
          <c:tx>
            <c:strRef>
              <c:f>Planilha1!$M$7</c:f>
              <c:strCache>
                <c:ptCount val="1"/>
                <c:pt idx="0">
                  <c:v>DÉFICIT 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Planilha1!$K$8:$K$11</c:f>
              <c:strCache>
                <c:ptCount val="4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</c:strCache>
            </c:strRef>
          </c:cat>
          <c:val>
            <c:numRef>
              <c:f>Planilha1!$M$8:$M$11</c:f>
              <c:numCache>
                <c:formatCode>General</c:formatCode>
                <c:ptCount val="4"/>
                <c:pt idx="0">
                  <c:v>110</c:v>
                </c:pt>
                <c:pt idx="1">
                  <c:v>81</c:v>
                </c:pt>
                <c:pt idx="2">
                  <c:v>44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9-443D-BFE7-7DA5CA5C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838015"/>
        <c:axId val="1145840927"/>
      </c:lineChart>
      <c:catAx>
        <c:axId val="114583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40927"/>
        <c:crosses val="autoZero"/>
        <c:auto val="1"/>
        <c:lblAlgn val="ctr"/>
        <c:lblOffset val="100"/>
        <c:noMultiLvlLbl val="0"/>
      </c:catAx>
      <c:valAx>
        <c:axId val="114584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3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105405</xdr:colOff>
      <xdr:row>13</xdr:row>
      <xdr:rowOff>10757</xdr:rowOff>
    </xdr:from>
    <xdr:to>
      <xdr:col>18</xdr:col>
      <xdr:colOff>636495</xdr:colOff>
      <xdr:row>29</xdr:row>
      <xdr:rowOff>179293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828B751-F4C9-4A2F-8F4D-6543874DE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696E1-E460-4395-A8F6-CAA0467D7A56}" name="Tabela1" displayName="Tabela1" ref="A2:H15" totalsRowShown="0" headerRowDxfId="13" dataDxfId="11" headerRowBorderDxfId="12" tableBorderDxfId="10">
  <autoFilter ref="A2:H15" xr:uid="{2BF696E1-E460-4395-A8F6-CAA0467D7A56}"/>
  <tableColumns count="8">
    <tableColumn id="1" xr3:uid="{6ECC6F81-630B-49D3-805B-E9FE3D799D3D}" name="REQUISITO" dataDxfId="9"/>
    <tableColumn id="2" xr3:uid="{1D058733-D303-4135-A124-29464DC33A73}" name="DESCRIÇÃO" dataDxfId="8"/>
    <tableColumn id="3" xr3:uid="{4A9FBD53-C5AD-43F9-B80C-34C8759E680F}" name="CLASSIFICAÇÃO" dataDxfId="7"/>
    <tableColumn id="4" xr3:uid="{6928EAB6-577B-4082-AAC3-4ABABECCFE53}" name="TAMANHO" dataDxfId="6"/>
    <tableColumn id="5" xr3:uid="{CB0AD832-680E-4373-B96F-AFCC00E72603}" name="TAM(#)" dataDxfId="5">
      <calculatedColumnFormula>IF(D3="P",5,IF(D3="PP",3,IF(D3="M",8,IF(D3="G",13,IF(D3="GG",21,"")))))</calculatedColumnFormula>
    </tableColumn>
    <tableColumn id="6" xr3:uid="{D7323832-7608-48DF-A6CD-B1E879E62D55}" name="PRIORIDADE" dataDxfId="4"/>
    <tableColumn id="7" xr3:uid="{52683356-C07B-41EC-A6CD-AA16D06032D0}" name="SPRINT" dataDxfId="3"/>
    <tableColumn id="8" xr3:uid="{77F999EF-0A37-433E-9457-E5928B79426C}" name="ESTAD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DD38-27EE-4AF8-AFDD-10B04064FB70}">
  <sheetPr>
    <pageSetUpPr fitToPage="1"/>
  </sheetPr>
  <dimension ref="A1:P28"/>
  <sheetViews>
    <sheetView tabSelected="1" topLeftCell="B1" zoomScale="85" zoomScaleNormal="85" workbookViewId="0">
      <selection activeCell="L3" sqref="L3"/>
    </sheetView>
  </sheetViews>
  <sheetFormatPr defaultRowHeight="14.4" x14ac:dyDescent="0.3"/>
  <cols>
    <col min="1" max="1" width="45.77734375" customWidth="1"/>
    <col min="2" max="2" width="100.77734375" customWidth="1"/>
    <col min="3" max="3" width="20.5546875" customWidth="1"/>
    <col min="4" max="4" width="12.5546875" customWidth="1"/>
    <col min="5" max="5" width="15.5546875" customWidth="1"/>
    <col min="6" max="6" width="18.5546875" customWidth="1"/>
    <col min="7" max="7" width="14.5546875" customWidth="1"/>
    <col min="8" max="8" width="11.44140625" bestFit="1" customWidth="1"/>
    <col min="11" max="16" width="14.77734375" customWidth="1"/>
    <col min="17" max="17" width="12.88671875" bestFit="1" customWidth="1"/>
    <col min="18" max="18" width="19" customWidth="1"/>
    <col min="19" max="19" width="11.33203125" customWidth="1"/>
    <col min="20" max="20" width="17.109375" customWidth="1"/>
    <col min="21" max="21" width="12" bestFit="1" customWidth="1"/>
    <col min="22" max="22" width="22.6640625" bestFit="1" customWidth="1"/>
  </cols>
  <sheetData>
    <row r="1" spans="1:16" ht="60" customHeight="1" x14ac:dyDescent="0.3">
      <c r="A1" s="12" t="s">
        <v>27</v>
      </c>
      <c r="B1" s="12"/>
      <c r="C1" s="12"/>
      <c r="D1" s="12"/>
      <c r="E1" s="12"/>
      <c r="F1" s="12"/>
      <c r="G1" s="12"/>
      <c r="H1" s="12"/>
    </row>
    <row r="2" spans="1:16" ht="30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8" t="s">
        <v>7</v>
      </c>
    </row>
    <row r="3" spans="1:16" ht="30" customHeight="1" x14ac:dyDescent="0.3">
      <c r="A3" s="3" t="s">
        <v>11</v>
      </c>
      <c r="B3" s="3" t="s">
        <v>30</v>
      </c>
      <c r="C3" s="2" t="s">
        <v>8</v>
      </c>
      <c r="D3" s="2" t="s">
        <v>42</v>
      </c>
      <c r="E3" s="3">
        <f t="shared" ref="E3:E11" si="0">IF(D3="P",5,IF(D3="PP",3,IF(D3="M",8,IF(D3="G",13,IF(D3="GG",21,"")))))</f>
        <v>3</v>
      </c>
      <c r="F3" s="2">
        <v>1</v>
      </c>
      <c r="G3" s="2" t="s">
        <v>24</v>
      </c>
      <c r="H3" s="5" t="s">
        <v>45</v>
      </c>
    </row>
    <row r="4" spans="1:16" ht="30" customHeight="1" x14ac:dyDescent="0.3">
      <c r="A4" s="3" t="s">
        <v>12</v>
      </c>
      <c r="B4" s="3" t="s">
        <v>31</v>
      </c>
      <c r="C4" s="2" t="s">
        <v>41</v>
      </c>
      <c r="D4" s="2" t="s">
        <v>43</v>
      </c>
      <c r="E4" s="3">
        <f t="shared" si="0"/>
        <v>5</v>
      </c>
      <c r="F4" s="2">
        <v>2</v>
      </c>
      <c r="G4" s="2" t="s">
        <v>24</v>
      </c>
      <c r="H4" s="5" t="s">
        <v>45</v>
      </c>
    </row>
    <row r="5" spans="1:16" ht="30" customHeight="1" x14ac:dyDescent="0.3">
      <c r="A5" s="3" t="s">
        <v>13</v>
      </c>
      <c r="B5" s="3" t="s">
        <v>28</v>
      </c>
      <c r="C5" s="2" t="s">
        <v>41</v>
      </c>
      <c r="D5" s="2" t="s">
        <v>44</v>
      </c>
      <c r="E5" s="3">
        <f t="shared" si="0"/>
        <v>8</v>
      </c>
      <c r="F5" s="2">
        <v>1</v>
      </c>
      <c r="G5" s="2" t="s">
        <v>24</v>
      </c>
      <c r="H5" s="5" t="s">
        <v>45</v>
      </c>
    </row>
    <row r="6" spans="1:16" ht="30" customHeight="1" x14ac:dyDescent="0.3">
      <c r="A6" s="3" t="s">
        <v>14</v>
      </c>
      <c r="B6" s="3" t="s">
        <v>32</v>
      </c>
      <c r="C6" s="2" t="s">
        <v>41</v>
      </c>
      <c r="D6" s="2" t="s">
        <v>9</v>
      </c>
      <c r="E6" s="3">
        <f t="shared" si="0"/>
        <v>13</v>
      </c>
      <c r="F6" s="2">
        <v>1</v>
      </c>
      <c r="G6" s="2" t="s">
        <v>24</v>
      </c>
      <c r="H6" s="5" t="s">
        <v>45</v>
      </c>
    </row>
    <row r="7" spans="1:16" ht="30" customHeight="1" x14ac:dyDescent="0.3">
      <c r="A7" s="10" t="s">
        <v>15</v>
      </c>
      <c r="B7" s="10" t="s">
        <v>33</v>
      </c>
      <c r="C7" s="9" t="s">
        <v>41</v>
      </c>
      <c r="D7" s="9" t="s">
        <v>43</v>
      </c>
      <c r="E7" s="10">
        <f t="shared" si="0"/>
        <v>5</v>
      </c>
      <c r="F7" s="9">
        <v>1</v>
      </c>
      <c r="G7" s="9" t="s">
        <v>25</v>
      </c>
      <c r="H7" s="4" t="s">
        <v>45</v>
      </c>
      <c r="K7" s="13" t="s">
        <v>6</v>
      </c>
      <c r="L7" s="14" t="s">
        <v>50</v>
      </c>
      <c r="M7" s="14" t="s">
        <v>51</v>
      </c>
      <c r="N7" s="13" t="s">
        <v>46</v>
      </c>
      <c r="O7" s="13" t="s">
        <v>47</v>
      </c>
      <c r="P7" s="13" t="s">
        <v>10</v>
      </c>
    </row>
    <row r="8" spans="1:16" ht="30" customHeight="1" x14ac:dyDescent="0.3">
      <c r="A8" s="10" t="s">
        <v>16</v>
      </c>
      <c r="B8" s="10" t="s">
        <v>38</v>
      </c>
      <c r="C8" s="9" t="s">
        <v>8</v>
      </c>
      <c r="D8" s="9" t="s">
        <v>44</v>
      </c>
      <c r="E8" s="10">
        <f t="shared" si="0"/>
        <v>8</v>
      </c>
      <c r="F8" s="9">
        <v>3</v>
      </c>
      <c r="G8" s="9" t="s">
        <v>25</v>
      </c>
      <c r="H8" s="4" t="s">
        <v>45</v>
      </c>
      <c r="K8" s="11" t="s">
        <v>48</v>
      </c>
      <c r="L8" s="11">
        <f>SUM(Tabela1[TAM('#)])</f>
        <v>110</v>
      </c>
      <c r="M8" s="11">
        <f>SUMIF(Tabela1[ESTADO],"FINALIZADO",Tabela1[TAM('#)])</f>
        <v>110</v>
      </c>
      <c r="N8" s="11">
        <v>110</v>
      </c>
      <c r="O8" s="11">
        <v>110</v>
      </c>
      <c r="P8" s="11">
        <f>SUM(L8-M8)</f>
        <v>0</v>
      </c>
    </row>
    <row r="9" spans="1:16" ht="30" customHeight="1" x14ac:dyDescent="0.3">
      <c r="A9" s="10" t="s">
        <v>17</v>
      </c>
      <c r="B9" s="10" t="s">
        <v>37</v>
      </c>
      <c r="C9" s="9" t="s">
        <v>8</v>
      </c>
      <c r="D9" s="9" t="s">
        <v>44</v>
      </c>
      <c r="E9" s="10">
        <f t="shared" si="0"/>
        <v>8</v>
      </c>
      <c r="F9" s="9">
        <v>3</v>
      </c>
      <c r="G9" s="9" t="s">
        <v>25</v>
      </c>
      <c r="H9" s="4" t="s">
        <v>45</v>
      </c>
      <c r="K9" s="11" t="s">
        <v>24</v>
      </c>
      <c r="L9" s="6">
        <v>76</v>
      </c>
      <c r="M9" s="6">
        <v>81</v>
      </c>
      <c r="N9" s="6">
        <v>29</v>
      </c>
      <c r="O9" s="6">
        <v>29</v>
      </c>
      <c r="P9" s="6">
        <v>0</v>
      </c>
    </row>
    <row r="10" spans="1:16" ht="30" customHeight="1" x14ac:dyDescent="0.3">
      <c r="A10" s="10" t="s">
        <v>18</v>
      </c>
      <c r="B10" s="10" t="s">
        <v>40</v>
      </c>
      <c r="C10" s="9" t="s">
        <v>8</v>
      </c>
      <c r="D10" s="9" t="s">
        <v>44</v>
      </c>
      <c r="E10" s="10">
        <f t="shared" si="0"/>
        <v>8</v>
      </c>
      <c r="F10" s="9">
        <v>1</v>
      </c>
      <c r="G10" s="9" t="s">
        <v>25</v>
      </c>
      <c r="H10" s="4" t="s">
        <v>45</v>
      </c>
      <c r="K10" s="11" t="s">
        <v>25</v>
      </c>
      <c r="L10" s="6">
        <v>49</v>
      </c>
      <c r="M10" s="6">
        <v>44</v>
      </c>
      <c r="N10" s="6">
        <v>37</v>
      </c>
      <c r="O10" s="6">
        <v>37</v>
      </c>
      <c r="P10" s="6">
        <v>0</v>
      </c>
    </row>
    <row r="11" spans="1:16" ht="30" customHeight="1" x14ac:dyDescent="0.3">
      <c r="A11" s="10" t="s">
        <v>19</v>
      </c>
      <c r="B11" s="10" t="s">
        <v>39</v>
      </c>
      <c r="C11" s="9" t="s">
        <v>41</v>
      </c>
      <c r="D11" s="9" t="s">
        <v>44</v>
      </c>
      <c r="E11" s="10">
        <f t="shared" si="0"/>
        <v>8</v>
      </c>
      <c r="F11" s="9">
        <v>1</v>
      </c>
      <c r="G11" s="9" t="s">
        <v>25</v>
      </c>
      <c r="H11" s="4" t="s">
        <v>45</v>
      </c>
      <c r="K11" s="11" t="s">
        <v>49</v>
      </c>
      <c r="L11" s="6">
        <v>0</v>
      </c>
      <c r="M11" s="6">
        <v>0</v>
      </c>
      <c r="N11" s="6">
        <v>44</v>
      </c>
      <c r="O11" s="6">
        <v>44</v>
      </c>
      <c r="P11" s="6">
        <v>0</v>
      </c>
    </row>
    <row r="12" spans="1:16" ht="30" customHeight="1" x14ac:dyDescent="0.3">
      <c r="A12" s="3" t="s">
        <v>20</v>
      </c>
      <c r="B12" s="3" t="s">
        <v>34</v>
      </c>
      <c r="C12" s="2" t="s">
        <v>41</v>
      </c>
      <c r="D12" s="2" t="s">
        <v>9</v>
      </c>
      <c r="E12" s="3">
        <f t="shared" ref="E12:E14" si="1">IF(D12="P",5,IF(D12="PP",3,IF(D12="M",8,IF(D12="G",13,IF(D12="GG",21,"")))))</f>
        <v>13</v>
      </c>
      <c r="F12" s="2">
        <v>1</v>
      </c>
      <c r="G12" s="2" t="s">
        <v>26</v>
      </c>
      <c r="H12" s="4" t="s">
        <v>45</v>
      </c>
    </row>
    <row r="13" spans="1:16" ht="30" customHeight="1" x14ac:dyDescent="0.3">
      <c r="A13" s="3" t="s">
        <v>21</v>
      </c>
      <c r="B13" s="3" t="s">
        <v>36</v>
      </c>
      <c r="C13" s="2" t="s">
        <v>41</v>
      </c>
      <c r="D13" s="2" t="s">
        <v>9</v>
      </c>
      <c r="E13" s="3">
        <f t="shared" si="1"/>
        <v>13</v>
      </c>
      <c r="F13" s="2">
        <v>1</v>
      </c>
      <c r="G13" s="2" t="s">
        <v>26</v>
      </c>
      <c r="H13" s="4" t="s">
        <v>45</v>
      </c>
    </row>
    <row r="14" spans="1:16" ht="30" customHeight="1" x14ac:dyDescent="0.3">
      <c r="A14" s="3" t="s">
        <v>22</v>
      </c>
      <c r="B14" s="3" t="s">
        <v>35</v>
      </c>
      <c r="C14" s="2" t="s">
        <v>8</v>
      </c>
      <c r="D14" s="2" t="s">
        <v>9</v>
      </c>
      <c r="E14" s="3">
        <f t="shared" si="1"/>
        <v>13</v>
      </c>
      <c r="F14" s="2">
        <v>1</v>
      </c>
      <c r="G14" s="2" t="s">
        <v>26</v>
      </c>
      <c r="H14" s="4" t="s">
        <v>45</v>
      </c>
    </row>
    <row r="15" spans="1:16" ht="30" customHeight="1" x14ac:dyDescent="0.3">
      <c r="A15" s="3" t="s">
        <v>23</v>
      </c>
      <c r="B15" s="3" t="s">
        <v>29</v>
      </c>
      <c r="C15" s="2" t="s">
        <v>8</v>
      </c>
      <c r="D15" s="2" t="s">
        <v>43</v>
      </c>
      <c r="E15" s="3">
        <f t="shared" ref="E15" si="2">IF(D15="P",5,IF(D15="PP",3,IF(D15="M",8,IF(D15="G",13,IF(D15="GG",21,"")))))</f>
        <v>5</v>
      </c>
      <c r="F15" s="2">
        <v>3</v>
      </c>
      <c r="G15" s="2" t="s">
        <v>26</v>
      </c>
      <c r="H15" s="4" t="s">
        <v>45</v>
      </c>
    </row>
    <row r="16" spans="1:16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B25" s="1"/>
      <c r="C25" s="1"/>
    </row>
    <row r="26" spans="1:3" x14ac:dyDescent="0.3">
      <c r="B26" s="1"/>
      <c r="C26" s="1"/>
    </row>
    <row r="27" spans="1:3" x14ac:dyDescent="0.3">
      <c r="B27" s="1"/>
      <c r="C27" s="1"/>
    </row>
    <row r="28" spans="1:3" x14ac:dyDescent="0.3">
      <c r="B28" s="1"/>
      <c r="C28" s="1"/>
    </row>
  </sheetData>
  <mergeCells count="1">
    <mergeCell ref="A1:H1"/>
  </mergeCells>
  <conditionalFormatting sqref="H3:H15">
    <cfRule type="cellIs" dxfId="1" priority="1" operator="equal">
      <formula>"FINALIZADO"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scale="3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571acb434632999db5ee38a13a8eaef4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517f1c296c3d1a438ed59838590dd0f3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2D9B1-72E5-4E34-937B-239DA2CDF102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8497f9ae-9c71-438c-b553-1e6fe8b1acb0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FBF2F96-8E40-4E5F-94E3-F7E55AE768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E306DC-4D82-4FE5-B96D-A09D99E18E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DA SILVA SANTOS .</dc:creator>
  <cp:keywords/>
  <dc:description/>
  <cp:lastModifiedBy>LEONARDO TOMAS FEITOSA DA SILVA .</cp:lastModifiedBy>
  <cp:revision/>
  <dcterms:created xsi:type="dcterms:W3CDTF">2025-08-28T20:52:19Z</dcterms:created>
  <dcterms:modified xsi:type="dcterms:W3CDTF">2025-11-22T20:53:32Z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